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4eb3ea59c64c01e/Documents/CP212/"/>
    </mc:Choice>
  </mc:AlternateContent>
  <xr:revisionPtr revIDLastSave="320" documentId="8_{30FD2EF4-981A-4924-BF26-C6AE15E9CF67}" xr6:coauthVersionLast="47" xr6:coauthVersionMax="47" xr10:uidLastSave="{72183B3E-D0C9-443B-A6BB-58AABBC7C56A}"/>
  <bookViews>
    <workbookView xWindow="1680" yWindow="48" windowWidth="14388" windowHeight="12156" activeTab="1" xr2:uid="{AAB74CCC-98ED-4A71-A6E5-587426FD7368}"/>
  </bookViews>
  <sheets>
    <sheet name="PMT" sheetId="2" r:id="rId1"/>
    <sheet name="Macro" sheetId="1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  <c r="C14" i="1"/>
  <c r="C15" i="1"/>
  <c r="C16" i="1"/>
  <c r="C17" i="1"/>
  <c r="C18" i="1"/>
  <c r="C19" i="1"/>
  <c r="C20" i="1"/>
  <c r="C21" i="1"/>
  <c r="C22" i="1"/>
  <c r="C12" i="1"/>
  <c r="A13" i="1"/>
  <c r="A14" i="1"/>
  <c r="A15" i="1"/>
  <c r="A16" i="1"/>
  <c r="A17" i="1"/>
  <c r="A18" i="1"/>
  <c r="A19" i="1"/>
  <c r="A20" i="1"/>
  <c r="A21" i="1"/>
  <c r="A22" i="1"/>
  <c r="A12" i="1"/>
  <c r="B9" i="1"/>
  <c r="B10" i="2"/>
  <c r="B14" i="2"/>
  <c r="B15" i="2"/>
  <c r="B16" i="2"/>
  <c r="A19" i="2"/>
  <c r="C19" i="2"/>
  <c r="A20" i="2"/>
  <c r="C20" i="2"/>
  <c r="A21" i="2"/>
  <c r="C21" i="2"/>
  <c r="A22" i="2"/>
  <c r="C22" i="2"/>
  <c r="A23" i="2"/>
  <c r="C23" i="2"/>
  <c r="A24" i="2"/>
  <c r="C24" i="2"/>
  <c r="A25" i="2"/>
  <c r="C25" i="2"/>
  <c r="A26" i="2"/>
  <c r="C26" i="2"/>
  <c r="A27" i="2"/>
  <c r="C27" i="2"/>
  <c r="A28" i="2"/>
  <c r="C28" i="2"/>
  <c r="A29" i="2"/>
  <c r="C29" i="2"/>
</calcChain>
</file>

<file path=xl/sharedStrings.xml><?xml version="1.0" encoding="utf-8"?>
<sst xmlns="http://schemas.openxmlformats.org/spreadsheetml/2006/main" count="34" uniqueCount="20">
  <si>
    <t>First Name:</t>
  </si>
  <si>
    <t>Thi Que Chi</t>
  </si>
  <si>
    <t>Last Name:</t>
  </si>
  <si>
    <t>Trinh</t>
  </si>
  <si>
    <t>ID:</t>
  </si>
  <si>
    <t>Email:</t>
  </si>
  <si>
    <t>trin4303@mylaurier.ca</t>
  </si>
  <si>
    <r>
      <rPr>
        <b/>
        <sz val="11"/>
        <color rgb="FF0070C0"/>
        <rFont val="Calibri"/>
        <family val="2"/>
      </rPr>
      <t>Method  1:</t>
    </r>
    <r>
      <rPr>
        <b/>
        <sz val="11"/>
        <color theme="1"/>
        <rFont val="Calibri"/>
        <family val="2"/>
      </rPr>
      <t xml:space="preserve"> Using PMT function to find Monthly Payment</t>
    </r>
  </si>
  <si>
    <t xml:space="preserve">pv(loan) = </t>
  </si>
  <si>
    <t>Annual Rate =</t>
  </si>
  <si>
    <t>Year =</t>
  </si>
  <si>
    <t>Monthly Payment =</t>
  </si>
  <si>
    <r>
      <rPr>
        <b/>
        <sz val="11"/>
        <color rgb="FF0070C0"/>
        <rFont val="Calibri"/>
        <family val="2"/>
      </rPr>
      <t>Method 2:</t>
    </r>
    <r>
      <rPr>
        <b/>
        <sz val="11"/>
        <color theme="1"/>
        <rFont val="Calibri"/>
        <family val="2"/>
      </rPr>
      <t xml:space="preserve"> Create formula from Equation to find Monthly Payment</t>
    </r>
  </si>
  <si>
    <t>Rate per month</t>
  </si>
  <si>
    <t>Annual Rate</t>
  </si>
  <si>
    <t>Monthly Payments</t>
  </si>
  <si>
    <t>Given condition:</t>
  </si>
  <si>
    <t>pv(loan) =</t>
  </si>
  <si>
    <t>nper (months) =</t>
  </si>
  <si>
    <t>Monthly 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</si>
</sst>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70C0"/>
      <name val="Calibri"/>
      <family val="2"/>
    </font>
    <font>
      <u/>
      <sz val="11"/>
      <color theme="10"/>
      <name val="Aptos Narrow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center"/>
    </xf>
    <xf numFmtId="164" fontId="2" fillId="0" borderId="1" xfId="1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1" xfId="2" applyNumberFormat="1" applyFont="1" applyBorder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8" fontId="2" fillId="0" borderId="2" xfId="0" applyNumberFormat="1" applyFont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 applyAlignment="1">
      <alignment horizontal="center"/>
    </xf>
    <xf numFmtId="0" fontId="2" fillId="0" borderId="5" xfId="0" applyFont="1" applyBorder="1"/>
    <xf numFmtId="10" fontId="2" fillId="0" borderId="4" xfId="0" applyNumberFormat="1" applyFont="1" applyBorder="1" applyAlignment="1">
      <alignment horizontal="center"/>
    </xf>
    <xf numFmtId="164" fontId="2" fillId="0" borderId="6" xfId="0" applyNumberFormat="1" applyFont="1" applyBorder="1" applyAlignment="1">
      <alignment horizontal="center"/>
    </xf>
    <xf numFmtId="0" fontId="2" fillId="0" borderId="7" xfId="0" applyFont="1" applyBorder="1"/>
    <xf numFmtId="8" fontId="2" fillId="0" borderId="2" xfId="0" quotePrefix="1" applyNumberFormat="1" applyFont="1" applyBorder="1" applyAlignment="1">
      <alignment horizontal="center"/>
    </xf>
    <xf numFmtId="0" fontId="6" fillId="0" borderId="2" xfId="3" applyFont="1" applyBorder="1" applyAlignment="1">
      <alignment horizontal="center"/>
    </xf>
    <xf numFmtId="0" fontId="3" fillId="0" borderId="3" xfId="0" applyFont="1" applyBorder="1"/>
    <xf numFmtId="0" fontId="3" fillId="0" borderId="5" xfId="0" applyFont="1" applyBorder="1"/>
    <xf numFmtId="0" fontId="2" fillId="0" borderId="6" xfId="0" applyFont="1" applyBorder="1" applyAlignment="1">
      <alignment horizontal="center"/>
    </xf>
    <xf numFmtId="0" fontId="3" fillId="0" borderId="7" xfId="0" applyFont="1" applyBorder="1"/>
    <xf numFmtId="0" fontId="2" fillId="0" borderId="2" xfId="0" applyFont="1" applyBorder="1" applyAlignment="1">
      <alignment horizontal="center"/>
    </xf>
    <xf numFmtId="164" fontId="0" fillId="0" borderId="0" xfId="1" applyNumberFormat="1" applyFont="1" applyAlignment="1">
      <alignment horizontal="center"/>
    </xf>
    <xf numFmtId="10" fontId="0" fillId="0" borderId="0" xfId="2" applyNumberFormat="1" applyFont="1" applyAlignment="1">
      <alignment horizontal="center"/>
    </xf>
    <xf numFmtId="10" fontId="0" fillId="0" borderId="0" xfId="0" applyNumberFormat="1"/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The effect of Annual Interest on the Monthly Payment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PMT!$B$19:$B$29</c:f>
              <c:numCache>
                <c:formatCode>0.00%</c:formatCode>
                <c:ptCount val="11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  <c:pt idx="7">
                  <c:v>5.5E-2</c:v>
                </c:pt>
                <c:pt idx="8">
                  <c:v>0.06</c:v>
                </c:pt>
                <c:pt idx="9">
                  <c:v>6.5000000000000002E-2</c:v>
                </c:pt>
                <c:pt idx="10">
                  <c:v>7.0000000000000007E-2</c:v>
                </c:pt>
              </c:numCache>
            </c:numRef>
          </c:xVal>
          <c:yVal>
            <c:numRef>
              <c:f>PMT!$C$19:$C$29</c:f>
              <c:numCache>
                <c:formatCode>"$"#,##0.00</c:formatCode>
                <c:ptCount val="11"/>
                <c:pt idx="0">
                  <c:v>525.83280159733135</c:v>
                </c:pt>
                <c:pt idx="1">
                  <c:v>532.4208481644082</c:v>
                </c:pt>
                <c:pt idx="2">
                  <c:v>539.06071992189413</c:v>
                </c:pt>
                <c:pt idx="3">
                  <c:v>545.752349107692</c:v>
                </c:pt>
                <c:pt idx="4">
                  <c:v>552.49566165799058</c:v>
                </c:pt>
                <c:pt idx="5">
                  <c:v>559.29057724549943</c:v>
                </c:pt>
                <c:pt idx="6">
                  <c:v>566.13700932032805</c:v>
                </c:pt>
                <c:pt idx="7">
                  <c:v>573.03486515346731</c:v>
                </c:pt>
                <c:pt idx="8">
                  <c:v>579.98404588283745</c:v>
                </c:pt>
                <c:pt idx="9">
                  <c:v>586.9844465618562</c:v>
                </c:pt>
                <c:pt idx="10">
                  <c:v>594.03595621048612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9A-41E3-A4F4-364B1B5C8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876399"/>
        <c:axId val="595875919"/>
      </c:scatterChart>
      <c:valAx>
        <c:axId val="595876399"/>
        <c:scaling>
          <c:orientation val="minMax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Annual Interest Rate</a:t>
                </a:r>
              </a:p>
            </c:rich>
          </c:tx>
          <c:layout>
            <c:manualLayout>
              <c:xMode val="edge"/>
              <c:yMode val="edge"/>
              <c:x val="0.4247869641294838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75919"/>
        <c:crosses val="autoZero"/>
        <c:crossBetween val="midCat"/>
        <c:minorUnit val="2.0000000000000005E-3"/>
      </c:valAx>
      <c:valAx>
        <c:axId val="59587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Monthly Payment</a:t>
                </a:r>
              </a:p>
            </c:rich>
          </c:tx>
          <c:layout>
            <c:manualLayout>
              <c:xMode val="edge"/>
              <c:yMode val="edge"/>
              <c:x val="2.5000000000000001E-2"/>
              <c:y val="0.295316418780985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76399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The effect of Annual Interest on the Monthly Payment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Macro!$B$12:$B$22</c:f>
              <c:numCache>
                <c:formatCode>0.00%</c:formatCode>
                <c:ptCount val="11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  <c:pt idx="7">
                  <c:v>5.5E-2</c:v>
                </c:pt>
                <c:pt idx="8">
                  <c:v>0.06</c:v>
                </c:pt>
                <c:pt idx="9">
                  <c:v>6.5000000000000002E-2</c:v>
                </c:pt>
                <c:pt idx="10">
                  <c:v>7.0000000000000007E-2</c:v>
                </c:pt>
              </c:numCache>
            </c:numRef>
          </c:xVal>
          <c:yVal>
            <c:numRef>
              <c:f>Macro!$C$12:$C$22</c:f>
              <c:numCache>
                <c:formatCode>"$"#,##0.00</c:formatCode>
                <c:ptCount val="11"/>
                <c:pt idx="0">
                  <c:v>525.83280159733135</c:v>
                </c:pt>
                <c:pt idx="1">
                  <c:v>532.4208481644082</c:v>
                </c:pt>
                <c:pt idx="2">
                  <c:v>539.06071992189413</c:v>
                </c:pt>
                <c:pt idx="3">
                  <c:v>545.752349107692</c:v>
                </c:pt>
                <c:pt idx="4">
                  <c:v>552.49566165799058</c:v>
                </c:pt>
                <c:pt idx="5">
                  <c:v>559.29057724549943</c:v>
                </c:pt>
                <c:pt idx="6">
                  <c:v>566.13700932032805</c:v>
                </c:pt>
                <c:pt idx="7">
                  <c:v>573.03486515346731</c:v>
                </c:pt>
                <c:pt idx="8">
                  <c:v>579.98404588283745</c:v>
                </c:pt>
                <c:pt idx="9">
                  <c:v>586.9844465618562</c:v>
                </c:pt>
                <c:pt idx="10">
                  <c:v>594.03595621048612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48-49E4-808C-B6E6ECC54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007392"/>
        <c:axId val="765007872"/>
      </c:scatterChart>
      <c:valAx>
        <c:axId val="765007392"/>
        <c:scaling>
          <c:orientation val="minMax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Annual Interest Rate</a:t>
                </a:r>
              </a:p>
            </c:rich>
          </c:tx>
          <c:layout>
            <c:manualLayout>
              <c:xMode val="edge"/>
              <c:yMode val="edge"/>
              <c:x val="0.43274540682414697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007872"/>
        <c:crosses val="autoZero"/>
        <c:crossBetween val="midCat"/>
      </c:valAx>
      <c:valAx>
        <c:axId val="76500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Monthly Payment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00739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13</xdr:row>
      <xdr:rowOff>68580</xdr:rowOff>
    </xdr:from>
    <xdr:to>
      <xdr:col>11</xdr:col>
      <xdr:colOff>0</xdr:colOff>
      <xdr:row>28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F1E819-072A-424B-8E8F-22F03B2F5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422910</xdr:colOff>
      <xdr:row>5</xdr:row>
      <xdr:rowOff>114300</xdr:rowOff>
    </xdr:from>
    <xdr:to>
      <xdr:col>11</xdr:col>
      <xdr:colOff>118110</xdr:colOff>
      <xdr:row>20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21F78F-4B80-892D-1F76-35F676A3AB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274320</xdr:colOff>
          <xdr:row>0</xdr:row>
          <xdr:rowOff>160020</xdr:rowOff>
        </xdr:from>
        <xdr:to>
          <xdr:col>8</xdr:col>
          <xdr:colOff>243840</xdr:colOff>
          <xdr:row>3</xdr:row>
          <xdr:rowOff>99060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Montly Payment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trin4303@mylaurier.ca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mailto:trin4303@mylaurier.ca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8778-D198-4370-81CF-77CD4A7DD175}">
  <sheetPr codeName="Sheet1"/>
  <dimension ref="A1:D29"/>
  <sheetViews>
    <sheetView topLeftCell="A4" workbookViewId="0">
      <selection activeCell="E6" sqref="E6"/>
    </sheetView>
  </sheetViews>
  <sheetFormatPr defaultRowHeight="14.4" x14ac:dyDescent="0.3"/>
  <cols>
    <col min="1" max="1" width="16.5546875" customWidth="1"/>
    <col min="2" max="2" width="21" style="1" customWidth="1"/>
    <col min="3" max="3" width="18.33203125" customWidth="1"/>
  </cols>
  <sheetData>
    <row r="1" spans="1:4" x14ac:dyDescent="0.3">
      <c r="A1" s="21" t="s">
        <v>0</v>
      </c>
      <c r="B1" s="20" t="s">
        <v>1</v>
      </c>
      <c r="C1" s="7"/>
    </row>
    <row r="2" spans="1:4" x14ac:dyDescent="0.3">
      <c r="A2" s="19" t="s">
        <v>2</v>
      </c>
      <c r="B2" s="11" t="s">
        <v>3</v>
      </c>
      <c r="C2" s="7"/>
    </row>
    <row r="3" spans="1:4" x14ac:dyDescent="0.3">
      <c r="A3" s="19" t="s">
        <v>4</v>
      </c>
      <c r="B3" s="11">
        <v>6750</v>
      </c>
      <c r="C3" s="7"/>
    </row>
    <row r="4" spans="1:4" ht="15" thickBot="1" x14ac:dyDescent="0.35">
      <c r="A4" s="18" t="s">
        <v>5</v>
      </c>
      <c r="B4" s="17" t="s">
        <v>6</v>
      </c>
      <c r="C4" s="7"/>
    </row>
    <row r="5" spans="1:4" x14ac:dyDescent="0.3">
      <c r="A5" s="7"/>
      <c r="B5" s="8"/>
      <c r="C5" s="7"/>
    </row>
    <row r="6" spans="1:4" ht="15" thickBot="1" x14ac:dyDescent="0.35">
      <c r="A6" s="5" t="s">
        <v>7</v>
      </c>
      <c r="B6" s="8"/>
      <c r="C6" s="7"/>
    </row>
    <row r="7" spans="1:4" x14ac:dyDescent="0.3">
      <c r="A7" s="15" t="s">
        <v>8</v>
      </c>
      <c r="B7" s="14">
        <v>30000</v>
      </c>
      <c r="C7" s="7"/>
    </row>
    <row r="8" spans="1:4" x14ac:dyDescent="0.3">
      <c r="A8" s="12" t="s">
        <v>9</v>
      </c>
      <c r="B8" s="13">
        <v>7.0000000000000007E-2</v>
      </c>
      <c r="C8" s="7"/>
    </row>
    <row r="9" spans="1:4" x14ac:dyDescent="0.3">
      <c r="A9" s="12" t="s">
        <v>10</v>
      </c>
      <c r="B9" s="11">
        <v>5</v>
      </c>
      <c r="C9" s="7"/>
    </row>
    <row r="10" spans="1:4" ht="15" thickBot="1" x14ac:dyDescent="0.35">
      <c r="A10" s="10" t="s">
        <v>11</v>
      </c>
      <c r="B10" s="16">
        <f>ABS(PMT(B8/12,B9*12,B7))</f>
        <v>594.03595621048612</v>
      </c>
      <c r="C10" s="7"/>
    </row>
    <row r="11" spans="1:4" x14ac:dyDescent="0.3">
      <c r="A11" s="7"/>
      <c r="B11" s="8"/>
      <c r="C11" s="7"/>
    </row>
    <row r="12" spans="1:4" ht="15" thickBot="1" x14ac:dyDescent="0.35">
      <c r="A12" s="5" t="s">
        <v>12</v>
      </c>
      <c r="B12" s="6"/>
      <c r="C12" s="5"/>
      <c r="D12" s="5"/>
    </row>
    <row r="13" spans="1:4" x14ac:dyDescent="0.3">
      <c r="A13" s="15" t="s">
        <v>8</v>
      </c>
      <c r="B13" s="14">
        <v>30000</v>
      </c>
      <c r="C13" s="7"/>
    </row>
    <row r="14" spans="1:4" x14ac:dyDescent="0.3">
      <c r="A14" s="12" t="s">
        <v>9</v>
      </c>
      <c r="B14" s="13">
        <f>7%/12</f>
        <v>5.8333333333333336E-3</v>
      </c>
      <c r="C14" s="7"/>
    </row>
    <row r="15" spans="1:4" x14ac:dyDescent="0.3">
      <c r="A15" s="12" t="s">
        <v>10</v>
      </c>
      <c r="B15" s="11">
        <f>5*12</f>
        <v>60</v>
      </c>
      <c r="C15" s="7"/>
    </row>
    <row r="16" spans="1:4" ht="15" thickBot="1" x14ac:dyDescent="0.35">
      <c r="A16" s="10" t="s">
        <v>11</v>
      </c>
      <c r="B16" s="9">
        <f>(B14*B13)/(1-(1+B14)^-B15)</f>
        <v>594.0359562104843</v>
      </c>
      <c r="C16" s="7"/>
    </row>
    <row r="17" spans="1:4" x14ac:dyDescent="0.3">
      <c r="A17" s="7"/>
      <c r="B17" s="8"/>
      <c r="C17" s="7"/>
    </row>
    <row r="18" spans="1:4" x14ac:dyDescent="0.3">
      <c r="A18" s="6" t="s">
        <v>13</v>
      </c>
      <c r="B18" s="6" t="s">
        <v>14</v>
      </c>
      <c r="C18" s="6" t="s">
        <v>15</v>
      </c>
      <c r="D18" s="5"/>
    </row>
    <row r="19" spans="1:4" x14ac:dyDescent="0.3">
      <c r="A19" s="4">
        <f t="shared" ref="A19:A29" si="0">B19/12</f>
        <v>1.6666666666666668E-3</v>
      </c>
      <c r="B19" s="3">
        <v>0.02</v>
      </c>
      <c r="C19" s="2">
        <f t="shared" ref="C19:C29" si="1">ABS(PMT(A19,60,30000))</f>
        <v>525.83280159733135</v>
      </c>
    </row>
    <row r="20" spans="1:4" x14ac:dyDescent="0.3">
      <c r="A20" s="4">
        <f t="shared" si="0"/>
        <v>2.0833333333333333E-3</v>
      </c>
      <c r="B20" s="3">
        <v>2.5000000000000001E-2</v>
      </c>
      <c r="C20" s="2">
        <f t="shared" si="1"/>
        <v>532.4208481644082</v>
      </c>
    </row>
    <row r="21" spans="1:4" x14ac:dyDescent="0.3">
      <c r="A21" s="4">
        <f t="shared" si="0"/>
        <v>2.5000000000000001E-3</v>
      </c>
      <c r="B21" s="3">
        <v>0.03</v>
      </c>
      <c r="C21" s="2">
        <f t="shared" si="1"/>
        <v>539.06071992189413</v>
      </c>
    </row>
    <row r="22" spans="1:4" x14ac:dyDescent="0.3">
      <c r="A22" s="4">
        <f t="shared" si="0"/>
        <v>2.9166666666666668E-3</v>
      </c>
      <c r="B22" s="3">
        <v>3.5000000000000003E-2</v>
      </c>
      <c r="C22" s="2">
        <f t="shared" si="1"/>
        <v>545.752349107692</v>
      </c>
    </row>
    <row r="23" spans="1:4" x14ac:dyDescent="0.3">
      <c r="A23" s="4">
        <f t="shared" si="0"/>
        <v>3.3333333333333335E-3</v>
      </c>
      <c r="B23" s="3">
        <v>0.04</v>
      </c>
      <c r="C23" s="2">
        <f t="shared" si="1"/>
        <v>552.49566165799058</v>
      </c>
    </row>
    <row r="24" spans="1:4" x14ac:dyDescent="0.3">
      <c r="A24" s="4">
        <f t="shared" si="0"/>
        <v>3.7499999999999999E-3</v>
      </c>
      <c r="B24" s="3">
        <v>4.4999999999999998E-2</v>
      </c>
      <c r="C24" s="2">
        <f t="shared" si="1"/>
        <v>559.29057724549943</v>
      </c>
    </row>
    <row r="25" spans="1:4" x14ac:dyDescent="0.3">
      <c r="A25" s="4">
        <f t="shared" si="0"/>
        <v>4.1666666666666666E-3</v>
      </c>
      <c r="B25" s="3">
        <v>0.05</v>
      </c>
      <c r="C25" s="2">
        <f t="shared" si="1"/>
        <v>566.13700932032805</v>
      </c>
    </row>
    <row r="26" spans="1:4" x14ac:dyDescent="0.3">
      <c r="A26" s="4">
        <f t="shared" si="0"/>
        <v>4.5833333333333334E-3</v>
      </c>
      <c r="B26" s="3">
        <v>5.5E-2</v>
      </c>
      <c r="C26" s="2">
        <f t="shared" si="1"/>
        <v>573.03486515346731</v>
      </c>
    </row>
    <row r="27" spans="1:4" x14ac:dyDescent="0.3">
      <c r="A27" s="4">
        <f t="shared" si="0"/>
        <v>5.0000000000000001E-3</v>
      </c>
      <c r="B27" s="3">
        <v>0.06</v>
      </c>
      <c r="C27" s="2">
        <f t="shared" si="1"/>
        <v>579.98404588283745</v>
      </c>
    </row>
    <row r="28" spans="1:4" x14ac:dyDescent="0.3">
      <c r="A28" s="4">
        <f t="shared" si="0"/>
        <v>5.4166666666666669E-3</v>
      </c>
      <c r="B28" s="3">
        <v>6.5000000000000002E-2</v>
      </c>
      <c r="C28" s="2">
        <f t="shared" si="1"/>
        <v>586.9844465618562</v>
      </c>
    </row>
    <row r="29" spans="1:4" x14ac:dyDescent="0.3">
      <c r="A29" s="4">
        <f t="shared" si="0"/>
        <v>5.8333333333333336E-3</v>
      </c>
      <c r="B29" s="3">
        <v>7.0000000000000007E-2</v>
      </c>
      <c r="C29" s="2">
        <f t="shared" si="1"/>
        <v>594.03595621048612</v>
      </c>
    </row>
  </sheetData>
  <hyperlinks>
    <hyperlink ref="B4" r:id="rId1" xr:uid="{FD76761B-3E03-46B8-9F7C-813C82F121DF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0D418-2CA7-4B20-9A91-4732477131BB}">
  <sheetPr codeName="Sheet2"/>
  <dimension ref="A1:C22"/>
  <sheetViews>
    <sheetView tabSelected="1" workbookViewId="0">
      <selection activeCell="D17" sqref="D17"/>
    </sheetView>
  </sheetViews>
  <sheetFormatPr defaultRowHeight="14.4" x14ac:dyDescent="0.3"/>
  <cols>
    <col min="1" max="1" width="17.44140625" customWidth="1"/>
    <col min="2" max="2" width="21.6640625" customWidth="1"/>
    <col min="3" max="3" width="19.44140625" customWidth="1"/>
  </cols>
  <sheetData>
    <row r="1" spans="1:3" x14ac:dyDescent="0.3">
      <c r="A1" s="21" t="s">
        <v>0</v>
      </c>
      <c r="B1" s="20" t="s">
        <v>1</v>
      </c>
    </row>
    <row r="2" spans="1:3" x14ac:dyDescent="0.3">
      <c r="A2" s="19" t="s">
        <v>2</v>
      </c>
      <c r="B2" s="11" t="s">
        <v>3</v>
      </c>
    </row>
    <row r="3" spans="1:3" x14ac:dyDescent="0.3">
      <c r="A3" s="19" t="s">
        <v>4</v>
      </c>
      <c r="B3" s="11">
        <v>6750</v>
      </c>
    </row>
    <row r="4" spans="1:3" ht="15" thickBot="1" x14ac:dyDescent="0.35">
      <c r="A4" s="18" t="s">
        <v>5</v>
      </c>
      <c r="B4" s="17" t="s">
        <v>6</v>
      </c>
    </row>
    <row r="6" spans="1:3" ht="15" thickBot="1" x14ac:dyDescent="0.35">
      <c r="A6" s="5" t="s">
        <v>16</v>
      </c>
    </row>
    <row r="7" spans="1:3" x14ac:dyDescent="0.3">
      <c r="A7" s="15" t="s">
        <v>17</v>
      </c>
      <c r="B7" s="14">
        <v>30000</v>
      </c>
    </row>
    <row r="8" spans="1:3" x14ac:dyDescent="0.3">
      <c r="A8" s="12" t="s">
        <v>10</v>
      </c>
      <c r="B8" s="11">
        <v>5</v>
      </c>
      <c r="C8" s="25"/>
    </row>
    <row r="9" spans="1:3" ht="15" thickBot="1" x14ac:dyDescent="0.35">
      <c r="A9" s="10" t="s">
        <v>18</v>
      </c>
      <c r="B9" s="22">
        <f>B8*12</f>
        <v>60</v>
      </c>
    </row>
    <row r="11" spans="1:3" x14ac:dyDescent="0.3">
      <c r="A11" s="6" t="s">
        <v>13</v>
      </c>
      <c r="B11" s="6" t="s">
        <v>14</v>
      </c>
      <c r="C11" s="6" t="s">
        <v>19</v>
      </c>
    </row>
    <row r="12" spans="1:3" x14ac:dyDescent="0.3">
      <c r="A12" s="24">
        <f>B12/12</f>
        <v>1.6666666666666668E-3</v>
      </c>
      <c r="B12" s="24">
        <v>0.02</v>
      </c>
      <c r="C12" s="23">
        <f>ABS(PMT(A12,60,30000))</f>
        <v>525.83280159733135</v>
      </c>
    </row>
    <row r="13" spans="1:3" x14ac:dyDescent="0.3">
      <c r="A13" s="24">
        <f t="shared" ref="A13:A22" si="0">B13/12</f>
        <v>2.0833333333333333E-3</v>
      </c>
      <c r="B13" s="24">
        <v>2.5000000000000001E-2</v>
      </c>
      <c r="C13" s="23">
        <f t="shared" ref="C13:C22" si="1">ABS(PMT(A13,60,30000))</f>
        <v>532.4208481644082</v>
      </c>
    </row>
    <row r="14" spans="1:3" x14ac:dyDescent="0.3">
      <c r="A14" s="24">
        <f t="shared" si="0"/>
        <v>2.5000000000000001E-3</v>
      </c>
      <c r="B14" s="24">
        <v>0.03</v>
      </c>
      <c r="C14" s="23">
        <f t="shared" si="1"/>
        <v>539.06071992189413</v>
      </c>
    </row>
    <row r="15" spans="1:3" x14ac:dyDescent="0.3">
      <c r="A15" s="24">
        <f t="shared" si="0"/>
        <v>2.9166666666666668E-3</v>
      </c>
      <c r="B15" s="24">
        <v>3.5000000000000003E-2</v>
      </c>
      <c r="C15" s="23">
        <f t="shared" si="1"/>
        <v>545.752349107692</v>
      </c>
    </row>
    <row r="16" spans="1:3" x14ac:dyDescent="0.3">
      <c r="A16" s="24">
        <f t="shared" si="0"/>
        <v>3.3333333333333335E-3</v>
      </c>
      <c r="B16" s="24">
        <v>0.04</v>
      </c>
      <c r="C16" s="23">
        <f t="shared" si="1"/>
        <v>552.49566165799058</v>
      </c>
    </row>
    <row r="17" spans="1:3" x14ac:dyDescent="0.3">
      <c r="A17" s="24">
        <f t="shared" si="0"/>
        <v>3.7499999999999999E-3</v>
      </c>
      <c r="B17" s="24">
        <v>4.4999999999999998E-2</v>
      </c>
      <c r="C17" s="23">
        <f t="shared" si="1"/>
        <v>559.29057724549943</v>
      </c>
    </row>
    <row r="18" spans="1:3" x14ac:dyDescent="0.3">
      <c r="A18" s="24">
        <f t="shared" si="0"/>
        <v>4.1666666666666666E-3</v>
      </c>
      <c r="B18" s="24">
        <v>0.05</v>
      </c>
      <c r="C18" s="23">
        <f t="shared" si="1"/>
        <v>566.13700932032805</v>
      </c>
    </row>
    <row r="19" spans="1:3" x14ac:dyDescent="0.3">
      <c r="A19" s="24">
        <f t="shared" si="0"/>
        <v>4.5833333333333334E-3</v>
      </c>
      <c r="B19" s="24">
        <v>5.5E-2</v>
      </c>
      <c r="C19" s="23">
        <f t="shared" si="1"/>
        <v>573.03486515346731</v>
      </c>
    </row>
    <row r="20" spans="1:3" x14ac:dyDescent="0.3">
      <c r="A20" s="24">
        <f t="shared" si="0"/>
        <v>5.0000000000000001E-3</v>
      </c>
      <c r="B20" s="24">
        <v>0.06</v>
      </c>
      <c r="C20" s="23">
        <f t="shared" si="1"/>
        <v>579.98404588283745</v>
      </c>
    </row>
    <row r="21" spans="1:3" x14ac:dyDescent="0.3">
      <c r="A21" s="24">
        <f t="shared" si="0"/>
        <v>5.4166666666666669E-3</v>
      </c>
      <c r="B21" s="24">
        <v>6.5000000000000002E-2</v>
      </c>
      <c r="C21" s="23">
        <f t="shared" si="1"/>
        <v>586.9844465618562</v>
      </c>
    </row>
    <row r="22" spans="1:3" x14ac:dyDescent="0.3">
      <c r="A22" s="24">
        <f t="shared" si="0"/>
        <v>5.8333333333333336E-3</v>
      </c>
      <c r="B22" s="24">
        <v>7.0000000000000007E-2</v>
      </c>
      <c r="C22" s="23">
        <f t="shared" si="1"/>
        <v>594.03595621048612</v>
      </c>
    </row>
  </sheetData>
  <hyperlinks>
    <hyperlink ref="B4" r:id="rId1" xr:uid="{13A783F3-DB69-4423-93D6-3E5E2A83B3DA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acro3">
                <anchor moveWithCells="1" sizeWithCells="1">
                  <from>
                    <xdr:col>3</xdr:col>
                    <xdr:colOff>274320</xdr:colOff>
                    <xdr:row>0</xdr:row>
                    <xdr:rowOff>160020</xdr:rowOff>
                  </from>
                  <to>
                    <xdr:col>8</xdr:col>
                    <xdr:colOff>243840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d6b0403-e097-46fa-a136-9e66bc49c5a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C6654D1E4DAC4495EFC2D670FC68B4" ma:contentTypeVersion="15" ma:contentTypeDescription="Create a new document." ma:contentTypeScope="" ma:versionID="4ad697aed1d2efbe9829dc89aa102d23">
  <xsd:schema xmlns:xsd="http://www.w3.org/2001/XMLSchema" xmlns:xs="http://www.w3.org/2001/XMLSchema" xmlns:p="http://schemas.microsoft.com/office/2006/metadata/properties" xmlns:ns3="4d6b0403-e097-46fa-a136-9e66bc49c5a6" xmlns:ns4="d42f1c07-8ddf-444a-9da7-f04ff02bb2dd" targetNamespace="http://schemas.microsoft.com/office/2006/metadata/properties" ma:root="true" ma:fieldsID="6d7d620fd44b9c240b0c268c8eab2b75" ns3:_="" ns4:_="">
    <xsd:import namespace="4d6b0403-e097-46fa-a136-9e66bc49c5a6"/>
    <xsd:import namespace="d42f1c07-8ddf-444a-9da7-f04ff02bb2d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DateTaken" minOccurs="0"/>
                <xsd:element ref="ns3:MediaLengthInSeconds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6b0403-e097-46fa-a136-9e66bc49c5a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f1c07-8ddf-444a-9da7-f04ff02bb2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DECC8C9-EF97-4476-BEA5-1D24F0846B90}">
  <ds:schemaRefs>
    <ds:schemaRef ds:uri="http://www.w3.org/XML/1998/namespace"/>
    <ds:schemaRef ds:uri="http://schemas.microsoft.com/office/2006/documentManagement/types"/>
    <ds:schemaRef ds:uri="d42f1c07-8ddf-444a-9da7-f04ff02bb2dd"/>
    <ds:schemaRef ds:uri="http://purl.org/dc/terms/"/>
    <ds:schemaRef ds:uri="http://schemas.microsoft.com/office/2006/metadata/properties"/>
    <ds:schemaRef ds:uri="http://schemas.microsoft.com/office/infopath/2007/PartnerControls"/>
    <ds:schemaRef ds:uri="4d6b0403-e097-46fa-a136-9e66bc49c5a6"/>
    <ds:schemaRef ds:uri="http://schemas.openxmlformats.org/package/2006/metadata/core-properties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6FB4E871-5DBB-492E-AB48-7193DAD1E27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3814E71-9209-4B14-9D28-5C89C34B7F0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6b0403-e097-46fa-a136-9e66bc49c5a6"/>
    <ds:schemaRef ds:uri="d42f1c07-8ddf-444a-9da7-f04ff02bb2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PMT</vt:lpstr>
      <vt:lpstr>Macro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trinh que chi</dc:creator>
  <cp:keywords/>
  <dc:description/>
  <cp:lastModifiedBy>trinh que chi</cp:lastModifiedBy>
  <cp:revision/>
  <dcterms:created xsi:type="dcterms:W3CDTF">2024-09-22T22:44:46Z</dcterms:created>
  <dcterms:modified xsi:type="dcterms:W3CDTF">2024-09-24T13:35:30Z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0x01010051C6654D1E4DAC4495EFC2D670FC68B4</vt:lpwstr>
  </property>
</Properties>
</file>